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FloorPlan_Interest_Calculator_final\FloorPlan_Interest_Calculator_final\config\"/>
    </mc:Choice>
  </mc:AlternateContent>
  <xr:revisionPtr revIDLastSave="0" documentId="13_ncr:1_{32737842-9100-40A0-93CB-BDB31B36B6A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ate_By_Day_Range" sheetId="1" r:id="rId1"/>
    <sheet name="Subvention_Campaign" sheetId="2" r:id="rId2"/>
    <sheet name="Config" sheetId="3" r:id="rId3"/>
  </sheets>
  <calcPr calcId="191029"/>
</workbook>
</file>

<file path=xl/calcChain.xml><?xml version="1.0" encoding="utf-8"?>
<calcChain xmlns="http://schemas.openxmlformats.org/spreadsheetml/2006/main">
  <c r="B4" i="3" l="1"/>
</calcChain>
</file>

<file path=xl/sharedStrings.xml><?xml version="1.0" encoding="utf-8"?>
<sst xmlns="http://schemas.openxmlformats.org/spreadsheetml/2006/main" count="37" uniqueCount="30">
  <si>
    <t>A</t>
  </si>
  <si>
    <t>B</t>
  </si>
  <si>
    <t>C</t>
  </si>
  <si>
    <t>D</t>
  </si>
  <si>
    <t>Campaign Name</t>
  </si>
  <si>
    <t>Free Days</t>
  </si>
  <si>
    <t>Remark</t>
  </si>
  <si>
    <t>No Subvention</t>
  </si>
  <si>
    <t>Dealer pays all</t>
  </si>
  <si>
    <t>Subvention 1-15 days</t>
  </si>
  <si>
    <t>RAM pays 15 days</t>
  </si>
  <si>
    <t>Subvention 1-30 days</t>
  </si>
  <si>
    <t>RAM pays 30 days</t>
  </si>
  <si>
    <t>Normal</t>
  </si>
  <si>
    <t>Same as Subvention 1-15 days</t>
  </si>
  <si>
    <t>Key</t>
  </si>
  <si>
    <t>Value</t>
  </si>
  <si>
    <t>Interest Rate</t>
  </si>
  <si>
    <t>Month End Date</t>
  </si>
  <si>
    <t>Full Month Days</t>
  </si>
  <si>
    <t>Plus</t>
  </si>
  <si>
    <t>RangeCode</t>
  </si>
  <si>
    <t>StartDay</t>
  </si>
  <si>
    <t>EndDay</t>
  </si>
  <si>
    <t>Rate</t>
  </si>
  <si>
    <t>EffectiveStart</t>
  </si>
  <si>
    <t>EffectiveEnd</t>
  </si>
  <si>
    <t>IsActive</t>
  </si>
  <si>
    <t>28/02/2025</t>
  </si>
  <si>
    <t>Penalty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</si>
</sst>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4478C6-C6A5-46EA-A635-703F8C991FF2}" name="Table1" displayName="Table1" ref="A1:H12" totalsRowShown="0">
  <autoFilter ref="A1:H12" xr:uid="{5E4478C6-C6A5-46EA-A635-703F8C991FF2}"/>
  <tableColumns count="8">
    <tableColumn id="1" xr3:uid="{2472E462-80C8-4C2E-9267-C8D8CEB6F705}" name="RangeCode"/>
    <tableColumn id="2" xr3:uid="{430F6FA2-AD19-4B02-9962-F209926F55F0}" name="StartDay"/>
    <tableColumn id="3" xr3:uid="{C93526FA-5371-48D2-90B3-8B2AE5B0D01E}" name="EndDay"/>
    <tableColumn id="4" xr3:uid="{CADDB053-E1FD-47E6-8986-261901A77383}" name="Rate"/>
    <tableColumn id="5" xr3:uid="{6D4E0156-DC6D-442F-A9DF-341D3C48C559}" name="Plus"/>
    <tableColumn id="6" xr3:uid="{7B01B0A9-56CF-4534-A295-04673CFC88CC}" name="EffectiveStart"/>
    <tableColumn id="7" xr3:uid="{D5EEC723-CEC6-4D3B-8ABB-746024D3C46F}" name="EffectiveEnd"/>
    <tableColumn id="8" xr3:uid="{0AFD5CCB-DE4E-440A-B4ED-B989746155A9}" name="IsActiv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activeCell="N12" sqref="N12"/>
    </sheetView>
  </sheetViews>
  <sheetFormatPr defaultRowHeight="14.4" x14ac:dyDescent="0.3"/>
  <cols>
    <col min="1" max="1" width="12.44140625" customWidth="1"/>
    <col min="2" max="2" width="10.109375" customWidth="1"/>
    <col min="3" max="3" width="9.33203125" customWidth="1"/>
    <col min="6" max="6" width="14.21875" style="4" customWidth="1"/>
    <col min="7" max="7" width="13.44140625" style="4" customWidth="1"/>
    <col min="8" max="8" width="9.44140625" customWidth="1"/>
  </cols>
  <sheetData>
    <row r="1" spans="1:8" s="5" customFormat="1" x14ac:dyDescent="0.3">
      <c r="A1" s="7" t="s">
        <v>21</v>
      </c>
      <c r="B1" s="7" t="s">
        <v>22</v>
      </c>
      <c r="C1" s="7" t="s">
        <v>23</v>
      </c>
      <c r="D1" s="7" t="s">
        <v>24</v>
      </c>
      <c r="E1" s="7" t="s">
        <v>20</v>
      </c>
      <c r="F1" s="7" t="s">
        <v>25</v>
      </c>
      <c r="G1" s="7" t="s">
        <v>26</v>
      </c>
      <c r="H1" s="7" t="s">
        <v>27</v>
      </c>
    </row>
    <row r="2" spans="1:8" x14ac:dyDescent="0.3">
      <c r="A2" s="8" t="s">
        <v>0</v>
      </c>
      <c r="B2" s="6">
        <v>1</v>
      </c>
      <c r="C2" s="6">
        <v>15</v>
      </c>
      <c r="D2" s="6">
        <v>6.625</v>
      </c>
      <c r="E2" s="6"/>
      <c r="F2" s="9">
        <v>45658</v>
      </c>
      <c r="G2" s="9">
        <v>45702</v>
      </c>
      <c r="H2" s="6" t="b">
        <v>1</v>
      </c>
    </row>
    <row r="3" spans="1:8" x14ac:dyDescent="0.3">
      <c r="A3" s="8" t="s">
        <v>0</v>
      </c>
      <c r="B3" s="6">
        <v>1</v>
      </c>
      <c r="C3" s="6">
        <v>15</v>
      </c>
      <c r="D3" s="6">
        <v>6.8250000000000002</v>
      </c>
      <c r="E3" s="6"/>
      <c r="F3" s="9">
        <v>45703</v>
      </c>
      <c r="G3" s="9">
        <v>45747</v>
      </c>
      <c r="H3" s="6" t="b">
        <v>1</v>
      </c>
    </row>
    <row r="4" spans="1:8" x14ac:dyDescent="0.3">
      <c r="A4" s="8" t="s">
        <v>0</v>
      </c>
      <c r="B4" s="6">
        <v>1</v>
      </c>
      <c r="C4" s="6">
        <v>15</v>
      </c>
      <c r="D4" s="6">
        <v>6.8250000000000002</v>
      </c>
      <c r="E4" s="6"/>
      <c r="F4" s="9">
        <v>45748</v>
      </c>
      <c r="G4" s="9">
        <v>45822</v>
      </c>
      <c r="H4" s="6" t="b">
        <v>1</v>
      </c>
    </row>
    <row r="5" spans="1:8" x14ac:dyDescent="0.3">
      <c r="A5" s="8" t="s">
        <v>0</v>
      </c>
      <c r="B5" s="6">
        <v>1</v>
      </c>
      <c r="C5" s="6">
        <v>15</v>
      </c>
      <c r="D5" s="6">
        <v>7.125</v>
      </c>
      <c r="E5" s="6"/>
      <c r="F5" s="9">
        <v>45823</v>
      </c>
      <c r="G5" s="9">
        <v>45900</v>
      </c>
      <c r="H5" s="6" t="b">
        <v>1</v>
      </c>
    </row>
    <row r="6" spans="1:8" x14ac:dyDescent="0.3">
      <c r="A6" s="8" t="s">
        <v>0</v>
      </c>
      <c r="B6" s="6">
        <v>1</v>
      </c>
      <c r="C6" s="6">
        <v>15</v>
      </c>
      <c r="D6" s="6">
        <v>6.9249999999999998</v>
      </c>
      <c r="E6" s="6"/>
      <c r="F6" s="9">
        <v>45901</v>
      </c>
      <c r="G6" s="9">
        <v>46022</v>
      </c>
      <c r="H6" s="6" t="b">
        <v>1</v>
      </c>
    </row>
    <row r="7" spans="1:8" x14ac:dyDescent="0.3">
      <c r="A7" s="8" t="s">
        <v>1</v>
      </c>
      <c r="B7" s="6">
        <v>16</v>
      </c>
      <c r="C7" s="6">
        <v>30</v>
      </c>
      <c r="D7" s="6">
        <v>6.8250000000000002</v>
      </c>
      <c r="E7" s="6"/>
      <c r="F7" s="9">
        <v>45658</v>
      </c>
      <c r="G7" s="9">
        <v>45838</v>
      </c>
      <c r="H7" s="6" t="b">
        <v>1</v>
      </c>
    </row>
    <row r="8" spans="1:8" x14ac:dyDescent="0.3">
      <c r="A8" s="8" t="s">
        <v>1</v>
      </c>
      <c r="B8" s="6">
        <v>16</v>
      </c>
      <c r="C8" s="6">
        <v>30</v>
      </c>
      <c r="D8" s="6">
        <v>7</v>
      </c>
      <c r="E8" s="6"/>
      <c r="F8" s="9">
        <v>45839</v>
      </c>
      <c r="G8" s="9">
        <v>46022</v>
      </c>
      <c r="H8" s="6" t="b">
        <v>1</v>
      </c>
    </row>
    <row r="9" spans="1:8" x14ac:dyDescent="0.3">
      <c r="A9" s="8" t="s">
        <v>2</v>
      </c>
      <c r="B9" s="6">
        <v>31</v>
      </c>
      <c r="C9" s="6">
        <v>60</v>
      </c>
      <c r="D9" s="6">
        <v>8.125</v>
      </c>
      <c r="E9" s="6">
        <v>1</v>
      </c>
      <c r="F9" s="9">
        <v>45658</v>
      </c>
      <c r="G9" s="9">
        <v>45747</v>
      </c>
      <c r="H9" s="6" t="b">
        <v>1</v>
      </c>
    </row>
    <row r="10" spans="1:8" x14ac:dyDescent="0.3">
      <c r="A10" s="8" t="s">
        <v>2</v>
      </c>
      <c r="B10" s="6">
        <v>31</v>
      </c>
      <c r="C10" s="6">
        <v>60</v>
      </c>
      <c r="D10" s="6">
        <v>8.3249999999999993</v>
      </c>
      <c r="E10" s="6">
        <v>1.5</v>
      </c>
      <c r="F10" s="9">
        <v>45748</v>
      </c>
      <c r="G10" s="9">
        <v>46022</v>
      </c>
      <c r="H10" s="6" t="b">
        <v>1</v>
      </c>
    </row>
    <row r="11" spans="1:8" x14ac:dyDescent="0.3">
      <c r="A11" s="8" t="s">
        <v>3</v>
      </c>
      <c r="B11" s="6">
        <v>61</v>
      </c>
      <c r="C11" s="6">
        <v>9999</v>
      </c>
      <c r="D11" s="6">
        <v>14</v>
      </c>
      <c r="E11" s="6"/>
      <c r="F11" s="9">
        <v>45658</v>
      </c>
      <c r="G11" s="9">
        <v>45838</v>
      </c>
      <c r="H11" s="6" t="b">
        <v>1</v>
      </c>
    </row>
    <row r="12" spans="1:8" x14ac:dyDescent="0.3">
      <c r="A12" s="8" t="s">
        <v>3</v>
      </c>
      <c r="B12" s="6">
        <v>61</v>
      </c>
      <c r="C12" s="6">
        <v>9999</v>
      </c>
      <c r="D12" s="6">
        <v>15</v>
      </c>
      <c r="E12" s="6"/>
      <c r="F12" s="9">
        <v>45839</v>
      </c>
      <c r="G12" s="9">
        <v>46022</v>
      </c>
      <c r="H12" s="6" t="b">
        <v>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D17" sqref="D17"/>
    </sheetView>
  </sheetViews>
  <sheetFormatPr defaultRowHeight="14.4" x14ac:dyDescent="0.3"/>
  <cols>
    <col min="1" max="1" width="18.44140625" bestFit="1" customWidth="1"/>
    <col min="3" max="3" width="25.77734375" bestFit="1" customWidth="1"/>
  </cols>
  <sheetData>
    <row r="1" spans="1:3" x14ac:dyDescent="0.3">
      <c r="A1" s="1" t="s">
        <v>4</v>
      </c>
      <c r="B1" s="1" t="s">
        <v>5</v>
      </c>
      <c r="C1" s="1" t="s">
        <v>6</v>
      </c>
    </row>
    <row r="2" spans="1:3" x14ac:dyDescent="0.3">
      <c r="A2" t="s">
        <v>7</v>
      </c>
      <c r="B2">
        <v>0</v>
      </c>
      <c r="C2" t="s">
        <v>8</v>
      </c>
    </row>
    <row r="3" spans="1:3" x14ac:dyDescent="0.3">
      <c r="A3" t="s">
        <v>9</v>
      </c>
      <c r="B3">
        <v>15</v>
      </c>
      <c r="C3" t="s">
        <v>10</v>
      </c>
    </row>
    <row r="4" spans="1:3" x14ac:dyDescent="0.3">
      <c r="A4" t="s">
        <v>11</v>
      </c>
      <c r="B4">
        <v>30</v>
      </c>
      <c r="C4" t="s">
        <v>12</v>
      </c>
    </row>
    <row r="5" spans="1:3" x14ac:dyDescent="0.3">
      <c r="A5" t="s">
        <v>13</v>
      </c>
      <c r="B5">
        <v>15</v>
      </c>
      <c r="C5" t="s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tabSelected="1" workbookViewId="0">
      <selection activeCell="H15" sqref="H15"/>
    </sheetView>
  </sheetViews>
  <sheetFormatPr defaultRowHeight="14.4" x14ac:dyDescent="0.3"/>
  <cols>
    <col min="1" max="1" width="19.109375" bestFit="1" customWidth="1"/>
    <col min="2" max="2" width="10.5546875" bestFit="1" customWidth="1"/>
  </cols>
  <sheetData>
    <row r="1" spans="1:2" x14ac:dyDescent="0.3">
      <c r="A1" s="1" t="s">
        <v>15</v>
      </c>
      <c r="B1" s="1" t="s">
        <v>16</v>
      </c>
    </row>
    <row r="2" spans="1:2" x14ac:dyDescent="0.3">
      <c r="A2" t="s">
        <v>17</v>
      </c>
      <c r="B2" s="2">
        <v>6.8250000000000002</v>
      </c>
    </row>
    <row r="3" spans="1:2" x14ac:dyDescent="0.3">
      <c r="A3" t="s">
        <v>18</v>
      </c>
      <c r="B3" s="3" t="s">
        <v>28</v>
      </c>
    </row>
    <row r="4" spans="1:2" x14ac:dyDescent="0.3">
      <c r="A4" t="s">
        <v>19</v>
      </c>
      <c r="B4">
        <f>DAY(EOMONTH(DATE(MID(B3,7,4), MID(B3,4,2), LEFT(B3,2)), 0))</f>
        <v>28</v>
      </c>
    </row>
    <row r="5" spans="1:2" x14ac:dyDescent="0.3">
      <c r="A5" t="s">
        <v>29</v>
      </c>
      <c r="B5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Rate_By_Day_Range</vt:lpstr>
      <vt:lpstr>Subvention_Campaign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supawit KJ</cp:lastModifiedBy>
  <dcterms:created xsi:type="dcterms:W3CDTF">2025-05-29T17:01:38Z</dcterms:created>
  <dcterms:modified xsi:type="dcterms:W3CDTF">2025-11-16T18:52:06Z</dcterms:modified>
</cp:coreProperties>
</file>